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jects\MapUp-Data-Assessment-F\"/>
    </mc:Choice>
  </mc:AlternateContent>
  <xr:revisionPtr revIDLastSave="0" documentId="13_ncr:1_{3D78C783-FD28-47C2-A59A-F1F717CB40DE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_xlnm._FilterDatabase" localSheetId="4" hidden="1">Task_3!$A$16:$A$54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30" i="18" l="1"/>
  <c r="D30" i="18"/>
  <c r="E30" i="18"/>
  <c r="F30" i="18"/>
  <c r="B30" i="18"/>
  <c r="C29" i="18"/>
  <c r="D29" i="18"/>
  <c r="E29" i="18"/>
  <c r="F29" i="18"/>
  <c r="B29" i="18"/>
  <c r="B28" i="18"/>
  <c r="C28" i="18"/>
  <c r="D28" i="18"/>
  <c r="E28" i="18"/>
  <c r="F28" i="18"/>
  <c r="D6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D12" i="19"/>
  <c r="D22" i="19" s="1"/>
  <c r="D13" i="19"/>
  <c r="D14" i="19"/>
  <c r="D15" i="19"/>
  <c r="D16" i="19"/>
  <c r="D17" i="19"/>
  <c r="D18" i="19"/>
  <c r="D19" i="19"/>
  <c r="D20" i="19"/>
  <c r="D21" i="19"/>
  <c r="H42" i="1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<sst xmlns="http://schemas.openxmlformats.org/spreadsheetml/2006/main" count="407" uniqueCount="184">
  <si>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</si>
  <si>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</si>
  <si>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</si>
  <si>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</si>
  <si>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</si>
  <si>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</si>
  <si>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</si>
  <si>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</si>
  <si>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</si>
  <si>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</si>
  <si>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</si>
  <si>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</si>
  <si>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</si>
  <si>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</si>
  <si>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</si>
  <si>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</si>
  <si>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</si>
  <si>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</si>
  <si>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</si>
  <si>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</si>
  <si>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</si>
  <si>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</si>
  <si>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</si>
  <si>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</si>
  <si>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</si>
  <si>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</si>
  <si>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</si>
  <si>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</si>
  <si>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</si>
  <si>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</si>
  <si>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</si>
  <si>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</si>
  <si>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</si>
  <si>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</si>
  <si>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</si>
  <si>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</si>
  <si>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</si>
  <si>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</si>
  <si>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</si>
  <si>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</si>
  <si>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</si>
  <si>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</si>
  <si>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</si>
  <si>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</si>
  <si>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</si>
  <si>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</si>
  <si>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</si>
  <si>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</si>
  <si>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</si>
  <si>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</si>
  <si>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</si>
  <si>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</si>
  <si>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</si>
  <si>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</si>
  <si>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</si>
  <si>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</si>
  <si>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</si>
  <si>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</si>
  <si>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</si>
  <si>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</si>
  <si>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</si>
  <si>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</si>
  <si>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</si>
  <si>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</si>
  <si>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</si>
  <si>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</si>
  <si>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</si>
  <si>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</si>
  <si>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</si>
  <si>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</si>
  <si>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</si>
  <si>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</si>
  <si>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</si>
  <si>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</si>
  <si>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</si>
  <si>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</si>
  <si>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</si>
  <si>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</si>
  <si>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</si>
  <si>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</si>
  <si>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</si>
  <si>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</si>
  <si>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</si>
  <si>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</si>
  <si>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</si>
  <si>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</si>
  <si>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</si>
  <si>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</si>
  <si>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</si>
  <si>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</si>
  <si>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</si>
  <si>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</si>
  <si>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</si>
  <si>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</si>
  <si>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</si>
  <si>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</si>
  <si>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</si>
  <si>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</si>
  <si>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</si>
  <si>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</si>
  <si>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</si>
  <si>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</si>
  <si>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</si>
  <si>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</si>
  <si>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</si>
  <si>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</si>
  <si>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</si>
  <si>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</si>
  <si>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</si>
  <si>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</si>
  <si>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</si>
  <si>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</si>
  <si>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</si>
  <si>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</si>
  <si>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</si>
  <si>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</si>
  <si>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</si>
  <si>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</si>
  <si>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</si>
  <si>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</si>
  <si>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</si>
  <si>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</si>
  <si>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</si>
  <si>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</si>
  <si>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</si>
  <si>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</si>
  <si>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</si>
  <si>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</si>
  <si>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</si>
  <si>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</si>
  <si>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</si>
  <si>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</si>
  <si>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</si>
  <si>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</si>
  <si>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</si>
  <si>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</si>
  <si>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</si>
  <si>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</si>
  <si>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</si>
  <si>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</si>
  <si>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</si>
  <si>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</si>
  <si>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</si>
  <si>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</si>
  <si>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</si>
  <si>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</si>
  <si>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</si>
  <si>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</si>
  <si>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</si>
  <si>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</si>
  <si>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</si>
  <si>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</si>
  <si>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</si>
  <si>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</si>
  <si>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</si>
  <si>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</si>
  <si>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</si>
  <si>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</si>
  <si>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</si>
  <si>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</si>
  <si>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</si>
  <si>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</si>
  <si>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</si>
  <si>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</si>
  <si>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</si>
  <si>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</si>
  <si>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</si>
  <si>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</si>
  <si>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</si>
  <si>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</si>
  <si>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</si>
  <si>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</si>
  <si>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</si>
  <si>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</si>
  <si>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</si>
  <si>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</si>
  <si>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</si>
  <si>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Data -&gt; Text to Column</t>
  </si>
  <si>
    <t xml:space="preserve">1. Select data (A16:A54) -&gt; 2. Go to Data tab -&gt; 3. Select Text to Column in Data Tools section -&gt; 4. Choose Delimiter as "-" -&gt; Click on finish </t>
  </si>
  <si>
    <t>View-Freeze first row</t>
  </si>
  <si>
    <t>Format Cells -&gt; Number -&gt; Custome -&gt; type 'YYYY-MM-DD'</t>
  </si>
  <si>
    <t>ans=SUMIFS(H2:H40,H2:H40,"&gt;"&amp;20,H2:H40,"&lt;&gt;0",H2:H40,"&lt;&gt;-1")</t>
  </si>
  <si>
    <t>sum=SUM(IF(ISNUMBER(Cij),Cij,20))</t>
  </si>
  <si>
    <t>Replace #N/A with 20 and then sum 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</si>
</sst>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hh:mm:ss;@"/>
    <numFmt numFmtId="165" formatCode="yyyy\-mm\-dd;@"/>
    <numFmt numFmtId="166" formatCode="dd/mm/yyyy"/>
    <numFmt numFmtId="167" formatCode="yyyy/mm/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66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0" fontId="8" fillId="0" borderId="8" xfId="0" applyFont="1" applyBorder="1"/>
    <xf numFmtId="0" fontId="8" fillId="0" borderId="11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9" sqref="A29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topLeftCell="K1" zoomScaleNormal="100" workbookViewId="0">
      <pane ySplit="1" topLeftCell="A5" activePane="bottomLeft" state="frozen"/>
      <selection activeCell="N1" sqref="N1"/>
      <selection pane="bottomLeft" activeCell="N32" sqref="N3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2" spans="1:24" x14ac:dyDescent="0.3">
      <c r="H42" s="1">
        <f>SUMIFS(H2:H40,H2:H40,"&gt;"&amp;20,H2:H40,"&lt;&gt;0",H2:H40,"&lt;&gt;-1")</f>
        <v>1473.0000000000002</v>
      </c>
    </row>
  </sheetData>
  <conditionalFormatting sqref="A1:A1048576">
    <cfRule type="duplicateValues" dxfId="7" priority="4"/>
  </conditionalFormatting>
  <conditionalFormatting sqref="B1:B1048576">
    <cfRule type="duplicateValues" dxfId="6" priority="3"/>
  </conditionalFormatting>
  <conditionalFormatting sqref="A1:X40">
    <cfRule type="cellIs" dxfId="5" priority="2" operator="equal">
      <formula>-1</formula>
    </cfRule>
    <cfRule type="cellIs" dxfId="4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D7" sqref="D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55.3320312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 t="s">
        <v>179</v>
      </c>
      <c r="E4" s="1">
        <v>5</v>
      </c>
    </row>
    <row r="5" spans="1:5" x14ac:dyDescent="0.3">
      <c r="A5" s="6">
        <v>3</v>
      </c>
      <c r="B5" s="2" t="s">
        <v>104</v>
      </c>
      <c r="C5" s="35" t="s">
        <v>181</v>
      </c>
      <c r="E5" s="1">
        <v>10</v>
      </c>
    </row>
    <row r="6" spans="1:5" x14ac:dyDescent="0.3">
      <c r="A6" s="6">
        <v>4</v>
      </c>
      <c r="B6" s="2" t="s">
        <v>106</v>
      </c>
      <c r="C6" s="2" t="s">
        <v>180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Normal="100" workbookViewId="0">
      <selection activeCell="G29" sqref="G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INDEX(Dataset!G2:G40, MATCH(A6, Dataset!A2:A40, 0))</f>
        <v>2.7</v>
      </c>
      <c r="C6" s="12">
        <f>INDEX(Dataset!N2:N40, MATCH(A6, Dataset!A2:A40, 0))</f>
        <v>7.6</v>
      </c>
      <c r="D6" s="12">
        <f>INDEX(Dataset!R2:R40, MATCH(A6, Dataset!A2:A40, 0))</f>
        <v>4.2</v>
      </c>
      <c r="E6" s="12">
        <f>INDEX(Dataset!T2:T40, MATCH(A6, Dataset!A2:A40, 0))</f>
        <v>8.9</v>
      </c>
      <c r="F6" s="8">
        <f>INDEX(Dataset!V2:V40, MATCH(A6, Dataset!A2:A40, 0))</f>
        <v>4.2</v>
      </c>
    </row>
    <row r="7" spans="1:7" ht="14.4" x14ac:dyDescent="0.3">
      <c r="A7" s="7" t="s">
        <v>4</v>
      </c>
      <c r="B7" s="12">
        <f>INDEX(Dataset!G3:G41, MATCH(A7, Dataset!A3:A41, 0))</f>
        <v>2.7</v>
      </c>
      <c r="C7" s="12">
        <f>INDEX(Dataset!N3:N41, MATCH(A7, Dataset!A3:A41, 0))</f>
        <v>7.6</v>
      </c>
      <c r="D7" s="12">
        <f>INDEX(Dataset!R3:R41, MATCH(A7, Dataset!A3:A41, 0))</f>
        <v>4.2</v>
      </c>
      <c r="E7" s="12">
        <f>INDEX(Dataset!T3:T41, MATCH(A7, Dataset!A3:A41, 0))</f>
        <v>8.9</v>
      </c>
      <c r="F7" s="8">
        <f>INDEX(Dataset!V3:V41, MATCH(A7, Dataset!A3:A41, 0))</f>
        <v>4.2</v>
      </c>
    </row>
    <row r="8" spans="1:7" ht="14.4" x14ac:dyDescent="0.3">
      <c r="A8" s="7" t="s">
        <v>7</v>
      </c>
      <c r="B8" s="12">
        <f>INDEX(Dataset!G4:G42, MATCH(A8, Dataset!A4:A42, 0))</f>
        <v>3.6</v>
      </c>
      <c r="C8" s="12">
        <f>INDEX(Dataset!N4:N42, MATCH(A8, Dataset!A4:A42, 0))</f>
        <v>11.1</v>
      </c>
      <c r="D8" s="12">
        <f>INDEX(Dataset!R4:R42, MATCH(A8, Dataset!A4:A42, 0))</f>
        <v>5.8</v>
      </c>
      <c r="E8" s="12">
        <f>INDEX(Dataset!T4:T42, MATCH(A8, Dataset!A4:A42, 0))</f>
        <v>12.2</v>
      </c>
      <c r="F8" s="8">
        <f>INDEX(Dataset!V4:V42, MATCH(A8, Dataset!A4:A42, 0))</f>
        <v>5.8</v>
      </c>
    </row>
    <row r="9" spans="1:7" ht="14.4" x14ac:dyDescent="0.3">
      <c r="A9" s="7" t="s">
        <v>8</v>
      </c>
      <c r="B9" s="12">
        <f>INDEX(Dataset!G5:G43, MATCH(A9, Dataset!A5:A43, 0))</f>
        <v>4.9000000000000004</v>
      </c>
      <c r="C9" s="12">
        <f>INDEX(Dataset!N5:N43, MATCH(A9, Dataset!A5:A43, 0))</f>
        <v>13.3</v>
      </c>
      <c r="D9" s="12">
        <f>INDEX(Dataset!R5:R43, MATCH(A9, Dataset!A5:A43, 0))</f>
        <v>8.1</v>
      </c>
      <c r="E9" s="12">
        <f>INDEX(Dataset!T5:T43, MATCH(A9, Dataset!A5:A43, 0))</f>
        <v>17</v>
      </c>
      <c r="F9" s="8">
        <f>INDEX(Dataset!V5:V43, MATCH(A9, Dataset!A5:A43, 0))</f>
        <v>8.1</v>
      </c>
    </row>
    <row r="10" spans="1:7" ht="14.4" x14ac:dyDescent="0.3">
      <c r="A10" s="7" t="s">
        <v>11</v>
      </c>
      <c r="B10" s="12">
        <f>INDEX(Dataset!G6:G44, MATCH(A10, Dataset!A6:A44, 0))</f>
        <v>9.4</v>
      </c>
      <c r="C10" s="12">
        <f>INDEX(Dataset!N6:N44, MATCH(A10, Dataset!A6:A44, 0))</f>
        <v>28.3</v>
      </c>
      <c r="D10" s="12">
        <f>INDEX(Dataset!R6:R44, MATCH(A10, Dataset!A6:A44, 0))</f>
        <v>16.100000000000001</v>
      </c>
      <c r="E10" s="12">
        <f>INDEX(Dataset!T6:T44, MATCH(A10, Dataset!A6:A44, 0))</f>
        <v>32.799999999999997</v>
      </c>
      <c r="F10" s="8">
        <f>INDEX(Dataset!V6:V44, MATCH(A10, Dataset!A6:A44, 0))</f>
        <v>16.100000000000001</v>
      </c>
    </row>
    <row r="11" spans="1:7" ht="14.4" x14ac:dyDescent="0.3">
      <c r="A11" s="7" t="s">
        <v>12</v>
      </c>
      <c r="B11" s="12">
        <f>INDEX(Dataset!G7:G45, MATCH(A11, Dataset!A7:A45, 0))</f>
        <v>11.6</v>
      </c>
      <c r="C11" s="12">
        <f>INDEX(Dataset!N7:N45, MATCH(A11, Dataset!A7:A45, 0))</f>
        <v>35.200000000000003</v>
      </c>
      <c r="D11" s="12">
        <f>INDEX(Dataset!R7:R45, MATCH(A11, Dataset!A7:A45, 0))</f>
        <v>21.3</v>
      </c>
      <c r="E11" s="12">
        <f>INDEX(Dataset!T7:T45, MATCH(A11, Dataset!A7:A45, 0))</f>
        <v>43</v>
      </c>
      <c r="F11" s="8">
        <f>INDEX(Dataset!V7:V45, MATCH(A11, Dataset!A7:A45, 0))</f>
        <v>21.3</v>
      </c>
    </row>
    <row r="12" spans="1:7" ht="14.4" x14ac:dyDescent="0.3">
      <c r="A12" s="7" t="s">
        <v>14</v>
      </c>
      <c r="B12" s="12">
        <f>INDEX(Dataset!G8:G46, MATCH(A12, Dataset!A8:A46, 0))</f>
        <v>18.399999999999999</v>
      </c>
      <c r="C12" s="12">
        <f>INDEX(Dataset!N8:N46, MATCH(A12, Dataset!A8:A46, 0))</f>
        <v>55.6</v>
      </c>
      <c r="D12" s="12">
        <f>INDEX(Dataset!R8:R46, MATCH(A12, Dataset!A8:A46, 0))</f>
        <v>33.799999999999997</v>
      </c>
      <c r="E12" s="12">
        <f>INDEX(Dataset!T8:T46, MATCH(A12, Dataset!A8:A46, 0))</f>
        <v>67.900000000000006</v>
      </c>
      <c r="F12" s="8">
        <f>INDEX(Dataset!V8:V46, MATCH(A12, Dataset!A8:A46, 0))</f>
        <v>33.799999999999997</v>
      </c>
    </row>
    <row r="13" spans="1:7" ht="14.4" x14ac:dyDescent="0.3">
      <c r="A13" s="7" t="s">
        <v>15</v>
      </c>
      <c r="B13" s="12">
        <f>INDEX(Dataset!G9:G47, MATCH(A13, Dataset!A9:A47, 0))</f>
        <v>0</v>
      </c>
      <c r="C13" s="12">
        <f>INDEX(Dataset!N9:N47, MATCH(A13, Dataset!A9:A47, 0))</f>
        <v>0</v>
      </c>
      <c r="D13" s="12">
        <f>INDEX(Dataset!R9:R47, MATCH(A13, Dataset!A9:A47, 0))</f>
        <v>0</v>
      </c>
      <c r="E13" s="12">
        <f>INDEX(Dataset!T9:T47, MATCH(A13, Dataset!A9:A47, 0))</f>
        <v>0</v>
      </c>
      <c r="F13" s="8">
        <f>INDEX(Dataset!V9:V47, MATCH(A13, Dataset!A9:A47, 0))</f>
        <v>0</v>
      </c>
    </row>
    <row r="14" spans="1:7" ht="14.4" x14ac:dyDescent="0.3">
      <c r="A14" s="7" t="s">
        <v>16</v>
      </c>
      <c r="B14" s="12">
        <f>INDEX(Dataset!G10:G48, MATCH(A14, Dataset!A10:A48, 0))</f>
        <v>21.9</v>
      </c>
      <c r="C14" s="12">
        <f>INDEX(Dataset!N10:N48, MATCH(A14, Dataset!A10:A48, 0))</f>
        <v>61.5</v>
      </c>
      <c r="D14" s="12">
        <f>INDEX(Dataset!R10:R48, MATCH(A14, Dataset!A10:A48, 0))</f>
        <v>40.1</v>
      </c>
      <c r="E14" s="12">
        <f>INDEX(Dataset!T10:T48, MATCH(A14, Dataset!A10:A48, 0))</f>
        <v>76.599999999999994</v>
      </c>
      <c r="F14" s="8">
        <f>INDEX(Dataset!V10:V48, MATCH(A14, Dataset!A10:A48, 0))</f>
        <v>40.1</v>
      </c>
    </row>
    <row r="15" spans="1:7" ht="14.4" x14ac:dyDescent="0.3">
      <c r="A15" s="7" t="s">
        <v>18</v>
      </c>
      <c r="B15" s="12">
        <f>INDEX(Dataset!G11:G49, MATCH(A15, Dataset!A11:A49, 0))</f>
        <v>26.8</v>
      </c>
      <c r="C15" s="12">
        <f>INDEX(Dataset!N11:N49, MATCH(A15, Dataset!A11:A49, 0))</f>
        <v>79.599999999999994</v>
      </c>
      <c r="D15" s="12">
        <f>INDEX(Dataset!R11:R49, MATCH(A15, Dataset!A11:A49, 0))</f>
        <v>47.9</v>
      </c>
      <c r="E15" s="12">
        <f>INDEX(Dataset!T11:T49, MATCH(A15, Dataset!A11:A49, 0))</f>
        <v>96.8</v>
      </c>
      <c r="F15" s="8">
        <f>INDEX(Dataset!V11:V49, MATCH(A15, Dataset!A11:A49, 0))</f>
        <v>47.9</v>
      </c>
    </row>
    <row r="16" spans="1:7" ht="14.4" x14ac:dyDescent="0.3">
      <c r="A16" s="7" t="s">
        <v>20</v>
      </c>
      <c r="B16" s="12">
        <f>INDEX(Dataset!G12:G50, MATCH(A16, Dataset!A12:A50, 0))</f>
        <v>28.5</v>
      </c>
      <c r="C16" s="12">
        <f>INDEX(Dataset!N12:N50, MATCH(A16, Dataset!A12:A50, 0))</f>
        <v>85.4</v>
      </c>
      <c r="D16" s="12">
        <f>INDEX(Dataset!R12:R50, MATCH(A16, Dataset!A12:A50, 0))</f>
        <v>52.3</v>
      </c>
      <c r="E16" s="12">
        <f>INDEX(Dataset!T12:T50, MATCH(A16, Dataset!A12:A50, 0))</f>
        <v>106.1</v>
      </c>
      <c r="F16" s="8">
        <f>INDEX(Dataset!V12:V50, MATCH(A16, Dataset!A12:A50, 0))</f>
        <v>52.3</v>
      </c>
    </row>
    <row r="17" spans="1:6" ht="14.4" x14ac:dyDescent="0.3">
      <c r="A17" s="7" t="s">
        <v>22</v>
      </c>
      <c r="B17" s="12">
        <f>INDEX(Dataset!G13:G51, MATCH(A17, Dataset!A13:A51, 0))</f>
        <v>30.7</v>
      </c>
      <c r="C17" s="12">
        <f>INDEX(Dataset!N13:N51, MATCH(A17, Dataset!A13:A51, 0))</f>
        <v>92.1</v>
      </c>
      <c r="D17" s="12">
        <f>INDEX(Dataset!R13:R51, MATCH(A17, Dataset!A13:A51, 0))</f>
        <v>57</v>
      </c>
      <c r="E17" s="12">
        <f>INDEX(Dataset!T13:T51, MATCH(A17, Dataset!A13:A51, 0))</f>
        <v>115.1</v>
      </c>
      <c r="F17" s="8">
        <f>INDEX(Dataset!V13:V51, MATCH(A17, Dataset!A13:A51, 0))</f>
        <v>57</v>
      </c>
    </row>
    <row r="18" spans="1:6" ht="14.4" x14ac:dyDescent="0.3">
      <c r="A18" s="7" t="s">
        <v>23</v>
      </c>
      <c r="B18" s="12">
        <f>INDEX(Dataset!G14:G52, MATCH(A18, Dataset!A14:A52, 0))</f>
        <v>33.799999999999997</v>
      </c>
      <c r="C18" s="12">
        <f>INDEX(Dataset!N14:N52, MATCH(A18, Dataset!A14:A52, 0))</f>
        <v>101.3</v>
      </c>
      <c r="D18" s="12">
        <f>INDEX(Dataset!R14:R52, MATCH(A18, Dataset!A14:A52, 0))</f>
        <v>61.4</v>
      </c>
      <c r="E18" s="12">
        <f>INDEX(Dataset!T14:T52, MATCH(A18, Dataset!A14:A52, 0))</f>
        <v>124.4</v>
      </c>
      <c r="F18" s="8">
        <f>INDEX(Dataset!V14:V52, MATCH(A18, Dataset!A14:A52, 0))</f>
        <v>61.4</v>
      </c>
    </row>
    <row r="19" spans="1:6" ht="14.4" x14ac:dyDescent="0.3">
      <c r="A19" s="7" t="s">
        <v>24</v>
      </c>
      <c r="B19" s="12">
        <f>INDEX(Dataset!G15:G53, MATCH(A19, Dataset!A15:A53, 0))</f>
        <v>34.700000000000003</v>
      </c>
      <c r="C19" s="12">
        <f>INDEX(Dataset!N15:N53, MATCH(A19, Dataset!A15:A53, 0))</f>
        <v>106.1</v>
      </c>
      <c r="D19" s="12">
        <f>INDEX(Dataset!R15:R53, MATCH(A19, Dataset!A15:A53, 0))</f>
        <v>63.6</v>
      </c>
      <c r="E19" s="12">
        <f>INDEX(Dataset!T15:T53, MATCH(A19, Dataset!A15:A53, 0))</f>
        <v>128.6</v>
      </c>
      <c r="F19" s="8">
        <f>INDEX(Dataset!V15:V53, MATCH(A19, Dataset!A15:A53, 0))</f>
        <v>63.6</v>
      </c>
    </row>
    <row r="20" spans="1:6" ht="14.4" x14ac:dyDescent="0.3">
      <c r="A20" s="7" t="s">
        <v>28</v>
      </c>
      <c r="B20" s="12">
        <f>INDEX(Dataset!G16:G54, MATCH(A20, Dataset!A16:A54, 0))</f>
        <v>0</v>
      </c>
      <c r="C20" s="12">
        <f>INDEX(Dataset!N16:N54, MATCH(A20, Dataset!A16:A54, 0))</f>
        <v>0</v>
      </c>
      <c r="D20" s="12">
        <f>INDEX(Dataset!R16:R54, MATCH(A20, Dataset!A16:A54, 0))</f>
        <v>0</v>
      </c>
      <c r="E20" s="12">
        <f>INDEX(Dataset!T16:T54, MATCH(A20, Dataset!A16:A54, 0))</f>
        <v>0</v>
      </c>
      <c r="F20" s="8">
        <f>INDEX(Dataset!V16:V54, MATCH(A20, Dataset!A16:A54, 0))</f>
        <v>0</v>
      </c>
    </row>
    <row r="21" spans="1:6" ht="14.4" x14ac:dyDescent="0.3">
      <c r="A21" s="7" t="s">
        <v>57</v>
      </c>
      <c r="B21" s="12">
        <f>INDEX(Dataset!G17:G55, MATCH(A21, Dataset!A17:A55, 0))</f>
        <v>41.3</v>
      </c>
      <c r="C21" s="12">
        <f>INDEX(Dataset!N17:N55, MATCH(A21, Dataset!A17:A55, 0))</f>
        <v>124.4</v>
      </c>
      <c r="D21" s="12">
        <f>INDEX(Dataset!R17:R55, MATCH(A21, Dataset!A17:A55, 0))</f>
        <v>75</v>
      </c>
      <c r="E21" s="12">
        <f>INDEX(Dataset!T17:T55, MATCH(A21, Dataset!A17:A55, 0))</f>
        <v>151.5</v>
      </c>
      <c r="F21" s="8">
        <f>INDEX(Dataset!V17:V55, MATCH(A21, Dataset!A17:A55, 0))</f>
        <v>75</v>
      </c>
    </row>
    <row r="22" spans="1:6" ht="14.4" x14ac:dyDescent="0.3">
      <c r="A22" s="7" t="s">
        <v>58</v>
      </c>
      <c r="B22" s="12">
        <f>INDEX(Dataset!G18:G56, MATCH(A22, Dataset!A18:A56, 0))</f>
        <v>-1</v>
      </c>
      <c r="C22" s="12">
        <f>INDEX(Dataset!N18:N56, MATCH(A22, Dataset!A18:A56, 0))</f>
        <v>-1</v>
      </c>
      <c r="D22" s="12">
        <f>INDEX(Dataset!R18:R56, MATCH(A22, Dataset!A18:A56, 0))</f>
        <v>-1</v>
      </c>
      <c r="E22" s="12">
        <f>INDEX(Dataset!T18:T56, MATCH(A22, Dataset!A18:A56, 0))</f>
        <v>-1</v>
      </c>
      <c r="F22" s="8">
        <f>INDEX(Dataset!V18:V56, MATCH(A22, Dataset!A18:A56, 0))</f>
        <v>-1</v>
      </c>
    </row>
    <row r="23" spans="1:6" ht="14.4" x14ac:dyDescent="0.3">
      <c r="A23" s="7" t="s">
        <v>31</v>
      </c>
      <c r="B23" s="12">
        <f>INDEX(Dataset!G19:G57, MATCH(A23, Dataset!A19:A57, 0))</f>
        <v>45</v>
      </c>
      <c r="C23" s="12">
        <f>INDEX(Dataset!N19:N57, MATCH(A23, Dataset!A19:A57, 0))</f>
        <v>133.4</v>
      </c>
      <c r="D23" s="12">
        <f>INDEX(Dataset!R19:R57, MATCH(A23, Dataset!A19:A57, 0))</f>
        <v>79.400000000000006</v>
      </c>
      <c r="E23" s="12">
        <f>INDEX(Dataset!T19:T57, MATCH(A23, Dataset!A19:A57, 0))</f>
        <v>160.9</v>
      </c>
      <c r="F23" s="8">
        <f>INDEX(Dataset!V19:V57, MATCH(A23, Dataset!A19:A57, 0))</f>
        <v>79.400000000000006</v>
      </c>
    </row>
    <row r="24" spans="1:6" ht="14.4" x14ac:dyDescent="0.3">
      <c r="A24" s="7" t="s">
        <v>32</v>
      </c>
      <c r="B24" s="12">
        <f>INDEX(Dataset!G20:G58, MATCH(A24, Dataset!A20:A58, 0))</f>
        <v>-1</v>
      </c>
      <c r="C24" s="12">
        <f>INDEX(Dataset!N20:N58, MATCH(A24, Dataset!A20:A58, 0))</f>
        <v>-1</v>
      </c>
      <c r="D24" s="12">
        <f>INDEX(Dataset!R20:R58, MATCH(A24, Dataset!A20:A58, 0))</f>
        <v>-1</v>
      </c>
      <c r="E24" s="12">
        <f>INDEX(Dataset!T20:T58, MATCH(A24, Dataset!A20:A58, 0))</f>
        <v>-1</v>
      </c>
      <c r="F24" s="8">
        <f>INDEX(Dataset!V20:V58, MATCH(A24, Dataset!A20:A58, 0))</f>
        <v>-1</v>
      </c>
    </row>
    <row r="25" spans="1:6" ht="14.4" x14ac:dyDescent="0.3">
      <c r="A25" s="7" t="s">
        <v>34</v>
      </c>
      <c r="B25" s="12">
        <f>INDEX(Dataset!G21:G59, MATCH(A25, Dataset!A21:A59, 0))</f>
        <v>43.3</v>
      </c>
      <c r="C25" s="12">
        <f>INDEX(Dataset!N21:N59, MATCH(A25, Dataset!A21:A59, 0))</f>
        <v>128.6</v>
      </c>
      <c r="D25" s="12">
        <f>INDEX(Dataset!R21:R59, MATCH(A25, Dataset!A21:A59, 0))</f>
        <v>79.400000000000006</v>
      </c>
      <c r="E25" s="12">
        <f>INDEX(Dataset!T21:T59, MATCH(A25, Dataset!A21:A59, 0))</f>
        <v>160.9</v>
      </c>
      <c r="F25" s="8">
        <f>INDEX(Dataset!V21:V59, MATCH(A25, Dataset!A21:A59, 0))</f>
        <v>79.400000000000006</v>
      </c>
    </row>
    <row r="26" spans="1:6" ht="14.4" x14ac:dyDescent="0.3">
      <c r="A26" s="7" t="s">
        <v>37</v>
      </c>
      <c r="B26" s="12">
        <f>INDEX(Dataset!G22:G60, MATCH(A26, Dataset!A22:A60, 0))</f>
        <v>49.1</v>
      </c>
      <c r="C26" s="12">
        <f>INDEX(Dataset!N22:N60, MATCH(A26, Dataset!A22:A60, 0))</f>
        <v>146.80000000000001</v>
      </c>
      <c r="D26" s="12">
        <f>INDEX(Dataset!R22:R60, MATCH(A26, Dataset!A22:A60, 0))</f>
        <v>90.9</v>
      </c>
      <c r="E26" s="12">
        <f>INDEX(Dataset!T22:T60, MATCH(A26, Dataset!A22:A60, 0))</f>
        <v>183.5</v>
      </c>
      <c r="F26" s="8">
        <f>INDEX(Dataset!V22:V60, MATCH(A26, Dataset!A22:A60, 0))</f>
        <v>90.9</v>
      </c>
    </row>
    <row r="27" spans="1:6" ht="14.4" x14ac:dyDescent="0.3">
      <c r="A27" s="7" t="s">
        <v>39</v>
      </c>
      <c r="B27" s="12">
        <f>INDEX(Dataset!G23:G61, MATCH(A27, Dataset!A23:A61, 0))</f>
        <v>51.8</v>
      </c>
      <c r="C27" s="12">
        <f>INDEX(Dataset!N23:N61, MATCH(A27, Dataset!A23:A61, 0))</f>
        <v>156.4</v>
      </c>
      <c r="D27" s="12">
        <f>INDEX(Dataset!R23:R61, MATCH(A27, Dataset!A23:A61, 0))</f>
        <v>93.1</v>
      </c>
      <c r="E27" s="12">
        <f>INDEX(Dataset!T23:T61, MATCH(A27, Dataset!A23:A61, 0))</f>
        <v>188.1</v>
      </c>
      <c r="F27" s="8">
        <f>INDEX(Dataset!V23:V61, MATCH(A27, Dataset!A23:A61, 0))</f>
        <v>93.1</v>
      </c>
    </row>
    <row r="28" spans="1:6" ht="14.4" x14ac:dyDescent="0.3">
      <c r="A28" s="19" t="s">
        <v>82</v>
      </c>
      <c r="B28" s="32">
        <f>_xlfn.MINIFS(B6:B27,B6:B27,"&lt;&gt;0",B6:B27,"&lt;&gt;-1")</f>
        <v>2.7</v>
      </c>
      <c r="C28" s="32">
        <f t="shared" ref="C28:F28" si="0">_xlfn.MINIFS(C6:C27,C6:C27,"&lt;&gt;0",C6:C27,"&lt;&gt;-1")</f>
        <v>7.6</v>
      </c>
      <c r="D28" s="32">
        <f t="shared" si="0"/>
        <v>4.2</v>
      </c>
      <c r="E28" s="32">
        <f t="shared" si="0"/>
        <v>8.9</v>
      </c>
      <c r="F28" s="32">
        <f t="shared" si="0"/>
        <v>4.2</v>
      </c>
    </row>
    <row r="29" spans="1:6" ht="14.4" x14ac:dyDescent="0.3">
      <c r="A29" s="19" t="s">
        <v>83</v>
      </c>
      <c r="B29" s="32">
        <f>_xlfn.MAXIFS(B6:B27,B6:B27,"&lt;&gt;0",B6:B27,"&lt;&gt;-1")</f>
        <v>51.8</v>
      </c>
      <c r="C29" s="32">
        <f t="shared" ref="C29:F29" si="1">_xlfn.MAXIFS(C6:C27,C6:C27,"&lt;&gt;0",C6:C27,"&lt;&gt;-1")</f>
        <v>156.4</v>
      </c>
      <c r="D29" s="32">
        <f t="shared" si="1"/>
        <v>93.1</v>
      </c>
      <c r="E29" s="32">
        <f t="shared" si="1"/>
        <v>188.1</v>
      </c>
      <c r="F29" s="32">
        <f t="shared" si="1"/>
        <v>93.1</v>
      </c>
    </row>
    <row r="30" spans="1:6" ht="14.4" x14ac:dyDescent="0.3">
      <c r="A30" s="19" t="s">
        <v>84</v>
      </c>
      <c r="B30" s="32">
        <f>AVERAGEIFS(B6:B27,B6:B27,"&lt;&gt;0",B6:B27,"&lt;&gt;-1")</f>
        <v>25.56666666666667</v>
      </c>
      <c r="C30" s="32">
        <f t="shared" ref="C30:F30" si="2">AVERAGEIFS(C6:C27,C6:C27,"&lt;&gt;0",C6:C27,"&lt;&gt;-1")</f>
        <v>76.349999999999994</v>
      </c>
      <c r="D30" s="32">
        <f t="shared" si="2"/>
        <v>46.31111111111111</v>
      </c>
      <c r="E30" s="32">
        <f t="shared" si="2"/>
        <v>93.51111111111112</v>
      </c>
      <c r="F30" s="32">
        <f t="shared" si="2"/>
        <v>46.31111111111111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2" zoomScaleNormal="100" workbookViewId="0">
      <selection activeCell="I8" sqref="I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 t="s">
        <v>177</v>
      </c>
    </row>
    <row r="6" spans="1:10" ht="18" x14ac:dyDescent="0.35">
      <c r="A6" s="44" t="s">
        <v>153</v>
      </c>
      <c r="B6" s="41" t="s">
        <v>178</v>
      </c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A7" sqref="A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3" t="s">
        <v>85</v>
      </c>
      <c r="B1" s="42" t="s">
        <v>167</v>
      </c>
    </row>
    <row r="2" spans="1:4" ht="18" x14ac:dyDescent="0.35">
      <c r="B2" s="41" t="s">
        <v>166</v>
      </c>
    </row>
    <row r="5" spans="1:4" ht="14.4" x14ac:dyDescent="0.3">
      <c r="B5" s="1" t="s">
        <v>151</v>
      </c>
    </row>
    <row r="6" spans="1:4" ht="14.4" x14ac:dyDescent="0.3">
      <c r="A6" s="3" t="s">
        <v>53</v>
      </c>
      <c r="B6" s="1" t="s">
        <v>182</v>
      </c>
    </row>
    <row r="7" spans="1:4" ht="14.4" x14ac:dyDescent="0.3">
      <c r="A7" s="3" t="s">
        <v>153</v>
      </c>
      <c r="B7" s="1" t="s">
        <v>183</v>
      </c>
    </row>
    <row r="10" spans="1:4" ht="23.4" x14ac:dyDescent="0.45">
      <c r="A10" s="18" t="s">
        <v>162</v>
      </c>
    </row>
    <row r="11" spans="1:4" ht="14.4" x14ac:dyDescent="0.3">
      <c r="A11" s="33" t="s">
        <v>86</v>
      </c>
      <c r="B11" s="17" t="s">
        <v>87</v>
      </c>
      <c r="C11" s="17" t="s">
        <v>88</v>
      </c>
    </row>
    <row r="12" spans="1:4" ht="14.4" x14ac:dyDescent="0.3">
      <c r="A12" s="33">
        <v>44927</v>
      </c>
      <c r="B12" s="17" t="s">
        <v>59</v>
      </c>
      <c r="C12" s="17">
        <v>200</v>
      </c>
      <c r="D12" s="2">
        <f>IF(ISNUMBER(C12),C12,20)</f>
        <v>200</v>
      </c>
    </row>
    <row r="13" spans="1:4" ht="14.4" x14ac:dyDescent="0.3">
      <c r="A13" s="33">
        <v>44928</v>
      </c>
      <c r="B13" s="17" t="s">
        <v>60</v>
      </c>
      <c r="C13" s="17" t="e">
        <v>#N/A</v>
      </c>
      <c r="D13" s="2">
        <f t="shared" ref="D13:D21" si="0">IF(ISNUMBER(C13),C13,20)</f>
        <v>20</v>
      </c>
    </row>
    <row r="14" spans="1:4" ht="14.4" x14ac:dyDescent="0.3">
      <c r="A14" s="33">
        <v>44929</v>
      </c>
      <c r="B14" s="17" t="s">
        <v>61</v>
      </c>
      <c r="C14" s="17">
        <v>50</v>
      </c>
      <c r="D14" s="2">
        <f t="shared" si="0"/>
        <v>50</v>
      </c>
    </row>
    <row r="15" spans="1:4" ht="14.4" x14ac:dyDescent="0.3">
      <c r="A15" s="33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4.4" x14ac:dyDescent="0.3">
      <c r="A16" s="33">
        <v>44931</v>
      </c>
      <c r="B16" s="17" t="s">
        <v>63</v>
      </c>
      <c r="C16" s="17">
        <v>10</v>
      </c>
      <c r="D16" s="2">
        <f t="shared" si="0"/>
        <v>10</v>
      </c>
    </row>
    <row r="17" spans="1:4" ht="14.4" x14ac:dyDescent="0.3">
      <c r="A17" s="33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4.4" x14ac:dyDescent="0.3">
      <c r="A18" s="33">
        <v>44933</v>
      </c>
      <c r="B18" s="17" t="s">
        <v>155</v>
      </c>
      <c r="C18" s="17">
        <v>80</v>
      </c>
      <c r="D18" s="2">
        <f t="shared" si="0"/>
        <v>80</v>
      </c>
    </row>
    <row r="19" spans="1:4" ht="14.4" x14ac:dyDescent="0.3">
      <c r="A19" s="33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4.4" x14ac:dyDescent="0.3">
      <c r="A20" s="33">
        <v>44935</v>
      </c>
      <c r="B20" s="17" t="s">
        <v>157</v>
      </c>
      <c r="C20" s="17">
        <v>30</v>
      </c>
      <c r="D20" s="2">
        <f t="shared" si="0"/>
        <v>30</v>
      </c>
    </row>
    <row r="21" spans="1:4" ht="14.4" x14ac:dyDescent="0.3">
      <c r="A21" s="33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4.4" x14ac:dyDescent="0.3">
      <c r="B22" s="17" t="s">
        <v>159</v>
      </c>
      <c r="C22" s="25"/>
      <c r="D22" s="2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5" zoomScaleNormal="100" workbookViewId="0">
      <selection activeCell="F23" sqref="F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/>
      <c r="D22" s="25"/>
      <c r="E22" s="49" t="s">
        <v>102</v>
      </c>
    </row>
    <row r="23" spans="1:14" ht="14.4" x14ac:dyDescent="0.3">
      <c r="A23" s="7">
        <v>10100</v>
      </c>
      <c r="B23" s="12">
        <v>10102</v>
      </c>
      <c r="C23" s="45"/>
      <c r="D23" s="38"/>
      <c r="E23" s="45"/>
    </row>
    <row r="24" spans="1:14" ht="14.4" x14ac:dyDescent="0.3">
      <c r="A24" s="7">
        <v>10100</v>
      </c>
      <c r="B24" s="12">
        <v>10104</v>
      </c>
      <c r="C24" s="45"/>
      <c r="D24" s="38"/>
      <c r="E24" s="45"/>
    </row>
    <row r="25" spans="1:14" ht="14.4" x14ac:dyDescent="0.3">
      <c r="A25" s="7">
        <v>10108</v>
      </c>
      <c r="B25" s="12">
        <v>10102</v>
      </c>
      <c r="C25" s="45"/>
      <c r="D25" s="38"/>
      <c r="E25" s="45"/>
    </row>
    <row r="26" spans="1:14" ht="14.4" x14ac:dyDescent="0.3">
      <c r="A26" s="7">
        <v>10100</v>
      </c>
      <c r="B26" s="12">
        <v>10106</v>
      </c>
      <c r="C26" s="45"/>
      <c r="D26" s="38"/>
      <c r="E26" s="45"/>
    </row>
    <row r="27" spans="1:14" ht="14.4" x14ac:dyDescent="0.3">
      <c r="A27" s="7">
        <v>10108</v>
      </c>
      <c r="B27" s="12">
        <v>10110</v>
      </c>
      <c r="C27" s="45"/>
      <c r="D27" s="38"/>
      <c r="E27" s="45"/>
    </row>
    <row r="28" spans="1:14" ht="14.4" x14ac:dyDescent="0.3">
      <c r="A28" s="7">
        <v>10102</v>
      </c>
      <c r="B28" s="12">
        <v>10104</v>
      </c>
      <c r="C28" s="45"/>
      <c r="D28" s="38"/>
      <c r="E28" s="45"/>
    </row>
    <row r="29" spans="1:14" ht="14.4" x14ac:dyDescent="0.3">
      <c r="A29" s="7">
        <v>10106</v>
      </c>
      <c r="B29" s="12">
        <v>10108</v>
      </c>
      <c r="C29" s="45"/>
      <c r="D29" s="38"/>
      <c r="E29" s="45"/>
    </row>
    <row r="30" spans="1:14" ht="14.4" x14ac:dyDescent="0.3">
      <c r="A30" s="7">
        <v>10102</v>
      </c>
      <c r="B30" s="12">
        <v>10106</v>
      </c>
      <c r="C30" s="45"/>
      <c r="D30" s="38"/>
      <c r="E30" s="45"/>
    </row>
    <row r="31" spans="1:14" ht="14.4" x14ac:dyDescent="0.3">
      <c r="A31" s="7">
        <v>10110</v>
      </c>
      <c r="B31" s="12">
        <v>10114</v>
      </c>
      <c r="C31" s="45"/>
      <c r="D31" s="38"/>
      <c r="E31" s="45"/>
    </row>
    <row r="32" spans="1:14" ht="14.4" x14ac:dyDescent="0.3">
      <c r="A32" s="7">
        <v>10104</v>
      </c>
      <c r="B32" s="12">
        <v>10106</v>
      </c>
      <c r="C32" s="45"/>
      <c r="D32" s="38"/>
      <c r="E32" s="45"/>
    </row>
    <row r="33" spans="1:5" ht="14.4" x14ac:dyDescent="0.3">
      <c r="A33" s="7">
        <v>10110</v>
      </c>
      <c r="B33" s="12">
        <v>10112</v>
      </c>
      <c r="C33" s="45"/>
      <c r="D33" s="38"/>
      <c r="E33" s="45"/>
    </row>
    <row r="34" spans="1:5" ht="14.4" x14ac:dyDescent="0.3">
      <c r="A34" s="7">
        <v>10100</v>
      </c>
      <c r="B34" s="12">
        <v>10114</v>
      </c>
      <c r="C34" s="45"/>
      <c r="D34" s="38"/>
      <c r="E34" s="45"/>
    </row>
    <row r="35" spans="1:5" ht="14.4" x14ac:dyDescent="0.3">
      <c r="A35" s="9">
        <v>10112</v>
      </c>
      <c r="B35" s="13">
        <v>10116</v>
      </c>
      <c r="C35" s="46"/>
      <c r="D35" s="48"/>
      <c r="E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Sakariya Vivek</cp:lastModifiedBy>
  <dcterms:created xsi:type="dcterms:W3CDTF">2015-02-10T17:33:11Z</dcterms:created>
  <dcterms:modified xsi:type="dcterms:W3CDTF">2023-12-11T13:18:30Z</dcterms:modified>
</cp:coreProperties>
</file>